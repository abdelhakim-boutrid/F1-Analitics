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Prix par GP" sheetId="1" state="visible" r:id="rId3"/>
    <sheet name="📊 Comparateur" sheetId="2" state="visible" r:id="rId4"/>
    <sheet name="📋 Guide Supporter" sheetId="3" state="visible" r:id="rId5"/>
    <sheet name="🧮 Budget Sim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<sst xmlns="http://schemas.openxmlformats.org/spreadsheetml/2006/main" count="197" uniqueCount="156">
  <si>
    <t xml:space="preserve">🏎  FORMULA 1 — GUIDE DES PRIX DE BILLETS POUR SUPPORTERS</t>
  </si>
  <si>
    <t xml:space="preserve">Saison 2025 · Prix indicatifs en EUR · Source: circuits officiels &amp; revendeurs agréés</t>
  </si>
  <si>
    <t xml:space="preserve">GRAND PRIX</t>
  </si>
  <si>
    <t xml:space="preserve">CIRCUIT</t>
  </si>
  <si>
    <t xml:space="preserve">TRIBUNE
BASIQUE</t>
  </si>
  <si>
    <t xml:space="preserve">TRIBUNE
MID</t>
  </si>
  <si>
    <t xml:space="preserve">TRIBUNE
PREMIUM</t>
  </si>
  <si>
    <t xml:space="preserve">HOSPITALITY
GENERAL</t>
  </si>
  <si>
    <t xml:space="preserve">HOSPITALITY
VIP</t>
  </si>
  <si>
    <t xml:space="preserve">WEEKEND
COMPLET</t>
  </si>
  <si>
    <t xml:space="preserve">NOTE
SUPPORTEUR</t>
  </si>
  <si>
    <t xml:space="preserve">🇲🇨 Monaco</t>
  </si>
  <si>
    <t xml:space="preserve">Circuit de Monaco</t>
  </si>
  <si>
    <t xml:space="preserve">⭐⭐⭐⭐⭐ Le mythe absolu — réservez 1 an à l'avance</t>
  </si>
  <si>
    <t xml:space="preserve">🇬🇧 Silverstone</t>
  </si>
  <si>
    <t xml:space="preserve">Silverstone Circuit</t>
  </si>
  <si>
    <t xml:space="preserve">⭐⭐⭐⭐  Ambiance electrique, grand choix de tribunes</t>
  </si>
  <si>
    <t xml:space="preserve">🇧🇪 Spa-Francorchamps</t>
  </si>
  <si>
    <t xml:space="preserve">Circuit de Spa-Francorchamps</t>
  </si>
  <si>
    <t xml:space="preserve">⭐⭐⭐⭐⭐ Raidillon &amp; Eau Rouge — frissons garantis</t>
  </si>
  <si>
    <t xml:space="preserve">🇮🇹 Monza</t>
  </si>
  <si>
    <t xml:space="preserve">Autodromo Nazionale di Monza</t>
  </si>
  <si>
    <t xml:space="preserve">⭐⭐⭐⭐⭐ Tifosi + vitesse = expérience unique</t>
  </si>
  <si>
    <t xml:space="preserve">🇯🇵 Suzuka</t>
  </si>
  <si>
    <t xml:space="preserve">Suzuka International Racing</t>
  </si>
  <si>
    <t xml:space="preserve">⭐⭐⭐⭐⭐ Atmosphère hors du commun, fans passionnés</t>
  </si>
  <si>
    <t xml:space="preserve">🇦🇺 Melbourne</t>
  </si>
  <si>
    <t xml:space="preserve">Albert Park Circuit</t>
  </si>
  <si>
    <t xml:space="preserve">⭐⭐⭐⭐  Ouverture de saison, ville festive</t>
  </si>
  <si>
    <t xml:space="preserve">🇺🇸 Austin (COTA)</t>
  </si>
  <si>
    <t xml:space="preserve">Circuit of the Americas</t>
  </si>
  <si>
    <t xml:space="preserve">⭐⭐⭐⭐  Concerts &amp; F1, ambiance festival</t>
  </si>
  <si>
    <t xml:space="preserve">🇦🇹 Autriche</t>
  </si>
  <si>
    <t xml:space="preserve">Red Bull Ring</t>
  </si>
  <si>
    <t xml:space="preserve">⭐⭐⭐⭐  Camping autorisé, fans orange partout</t>
  </si>
  <si>
    <t xml:space="preserve">🇸🇬 Singapour</t>
  </si>
  <si>
    <t xml:space="preserve">Marina Bay Street Circuit</t>
  </si>
  <si>
    <t xml:space="preserve">⭐⭐⭐⭐⭐ Course de nuit spectaculaire, skyline magique</t>
  </si>
  <si>
    <t xml:space="preserve">🇭🇺 Hongrie</t>
  </si>
  <si>
    <t xml:space="preserve">Hungaroring</t>
  </si>
  <si>
    <t xml:space="preserve">⭐⭐⭐⭐  Piscine, camping, bonne ambiance</t>
  </si>
  <si>
    <t xml:space="preserve">🇦🇿 Azerbaïdjan</t>
  </si>
  <si>
    <t xml:space="preserve">Baku City Circuit</t>
  </si>
  <si>
    <t xml:space="preserve">⭐⭐⭐⭐  Ville historique, murets très proches</t>
  </si>
  <si>
    <t xml:space="preserve">🇸🇦 Arabie Saoudite</t>
  </si>
  <si>
    <t xml:space="preserve">Jeddah Corniche Circuit</t>
  </si>
  <si>
    <t xml:space="preserve">⭐⭐⭐   Vitesses maximales du calendrier</t>
  </si>
  <si>
    <t xml:space="preserve">🇦🇪 Abu Dhabi</t>
  </si>
  <si>
    <t xml:space="preserve">Yas Marina Circuit</t>
  </si>
  <si>
    <t xml:space="preserve">⭐⭐⭐⭐  Coucher de soleil sur la marina</t>
  </si>
  <si>
    <t xml:space="preserve">🇨🇦 Canada</t>
  </si>
  <si>
    <t xml:space="preserve">Circuit Gilles-Villeneuve</t>
  </si>
  <si>
    <t xml:space="preserve">⭐⭐⭐⭐  Île au milieu du fleuve, très accessible</t>
  </si>
  <si>
    <t xml:space="preserve">🇳🇱 Pays-Bas</t>
  </si>
  <si>
    <t xml:space="preserve">Circuit Zandvoort</t>
  </si>
  <si>
    <t xml:space="preserve">⭐⭐⭐⭐⭐ Verstappen-land, ambiance orange incroyable</t>
  </si>
  <si>
    <t xml:space="preserve">STATISTIQUES</t>
  </si>
  <si>
    <t xml:space="preserve">Prix minimum tribune</t>
  </si>
  <si>
    <t xml:space="preserve">Prix maximum tribune</t>
  </si>
  <si>
    <t xml:space="preserve">Prix moyen tribune basique</t>
  </si>
  <si>
    <t xml:space="preserve">Prix moyen hospitality VIP</t>
  </si>
  <si>
    <t xml:space="preserve">📊  COMPARATEUR — TRIBUNE BASIQUE vs PREMIUM vs VIP</t>
  </si>
  <si>
    <t xml:space="preserve">Tous les prix en EUR · Données issues de la feuille Prix par GP</t>
  </si>
  <si>
    <t xml:space="preserve">RATIO
PREM/BASE</t>
  </si>
  <si>
    <t xml:space="preserve">📋  GUIDE PRATIQUE — COMMENT ACHETER SON BILLET F1 ?</t>
  </si>
  <si>
    <t xml:space="preserve">  OÙ ACHETER ?</t>
  </si>
  <si>
    <t xml:space="preserve">OPTION</t>
  </si>
  <si>
    <t xml:space="preserve">DÉTAIL</t>
  </si>
  <si>
    <t xml:space="preserve">TYPE</t>
  </si>
  <si>
    <t xml:space="preserve">BUDGET</t>
  </si>
  <si>
    <t xml:space="preserve">Site officiel F1</t>
  </si>
  <si>
    <t xml:space="preserve">f1.com/tickets — prix officiels, garantis</t>
  </si>
  <si>
    <t xml:space="preserve">✅ Sûr</t>
  </si>
  <si>
    <t xml:space="preserve">💰 Plein tarif</t>
  </si>
  <si>
    <t xml:space="preserve">Revendeurs agréés</t>
  </si>
  <si>
    <t xml:space="preserve">Ticket-to-ride, F1 Experiences, Paddock Club</t>
  </si>
  <si>
    <t xml:space="preserve">💰💰 +10–30%</t>
  </si>
  <si>
    <t xml:space="preserve">Circuits officiels</t>
  </si>
  <si>
    <t xml:space="preserve">Chaque circuit a son propre site billetterie</t>
  </si>
  <si>
    <t xml:space="preserve">💰 Tarif circuit</t>
  </si>
  <si>
    <t xml:space="preserve">Revente (StubHub etc.)</t>
  </si>
  <si>
    <t xml:space="preserve">Dernière minute mais risque de fraude</t>
  </si>
  <si>
    <t xml:space="preserve">⚠️ Attention</t>
  </si>
  <si>
    <t xml:space="preserve">💰💰💰 Variable</t>
  </si>
  <si>
    <t xml:space="preserve">  CONSEILS D'ACHAT</t>
  </si>
  <si>
    <t xml:space="preserve">Réservez tôt</t>
  </si>
  <si>
    <t xml:space="preserve">Monaco &amp; Silverstone : 12–18 mois à l'avance</t>
  </si>
  <si>
    <t xml:space="preserve">🔑 Essentiel</t>
  </si>
  <si>
    <t xml:space="preserve">—</t>
  </si>
  <si>
    <t xml:space="preserve">Choisissez votre tribune</t>
  </si>
  <si>
    <t xml:space="preserve">T1 = dépassements · Secteur S = vitesse droite</t>
  </si>
  <si>
    <t xml:space="preserve">🏁 Tech</t>
  </si>
  <si>
    <t xml:space="preserve">Weekend vs journée</t>
  </si>
  <si>
    <t xml:space="preserve">Le samedi (qualifs) = souvent moins cher</t>
  </si>
  <si>
    <t xml:space="preserve">💡 Tip</t>
  </si>
  <si>
    <t xml:space="preserve">Package voyage</t>
  </si>
  <si>
    <t xml:space="preserve">Comparer hôtel + billet vs packages tout inclus</t>
  </si>
  <si>
    <t xml:space="preserve">✈️ Voyage</t>
  </si>
  <si>
    <t xml:space="preserve">  CATÉGORIES DE BILLETS</t>
  </si>
  <si>
    <t xml:space="preserve">Tribune Basique</t>
  </si>
  <si>
    <t xml:space="preserve">Vue sur 1 portion de piste, places numérotées</t>
  </si>
  <si>
    <t xml:space="preserve">👥 Grand Public</t>
  </si>
  <si>
    <t xml:space="preserve">85–350 €</t>
  </si>
  <si>
    <t xml:space="preserve">Tribune Mid</t>
  </si>
  <si>
    <t xml:space="preserve">Meilleure vue, accès zones supplémentaires</t>
  </si>
  <si>
    <t xml:space="preserve">👥 Intermédiaire</t>
  </si>
  <si>
    <t xml:space="preserve">190–650 €</t>
  </si>
  <si>
    <t xml:space="preserve">Tribune Premium</t>
  </si>
  <si>
    <t xml:space="preserve">Vue panoramique, services premium inclus</t>
  </si>
  <si>
    <t xml:space="preserve">⭐ Premium</t>
  </si>
  <si>
    <t xml:space="preserve">380–1200 €</t>
  </si>
  <si>
    <t xml:space="preserve">Hospitality Général</t>
  </si>
  <si>
    <t xml:space="preserve">Lounge, restauration, accès étendu</t>
  </si>
  <si>
    <t xml:space="preserve">🥂 Business</t>
  </si>
  <si>
    <t xml:space="preserve">1300–3000 €</t>
  </si>
  <si>
    <t xml:space="preserve">Paddock Club / VIP</t>
  </si>
  <si>
    <t xml:space="preserve">Accès Paddock, chefs étoilés, rencontres pilotes</t>
  </si>
  <si>
    <t xml:space="preserve">👑 VIP</t>
  </si>
  <si>
    <t xml:space="preserve">4000–9500 €</t>
  </si>
  <si>
    <t xml:space="preserve">  COÛTS ANNEXES À PRÉVOIR</t>
  </si>
  <si>
    <t xml:space="preserve">Transport / hôtel</t>
  </si>
  <si>
    <t xml:space="preserve">Monaco : +500–2000 € pour le week-end</t>
  </si>
  <si>
    <t xml:space="preserve">✈️ Logistique</t>
  </si>
  <si>
    <t xml:space="preserve">Budget variable</t>
  </si>
  <si>
    <t xml:space="preserve">Nourriture sur circuit</t>
  </si>
  <si>
    <t xml:space="preserve">Compter 15–40 €/jour sur place</t>
  </si>
  <si>
    <t xml:space="preserve">🍔 Restauration</t>
  </si>
  <si>
    <t xml:space="preserve">45–120 €/WE</t>
  </si>
  <si>
    <t xml:space="preserve">Merchandising</t>
  </si>
  <si>
    <t xml:space="preserve">Casquette officielle ~50 €, veste ~180 €</t>
  </si>
  <si>
    <t xml:space="preserve">🛍️ Boutique</t>
  </si>
  <si>
    <t xml:space="preserve">50–500 €</t>
  </si>
  <si>
    <t xml:space="preserve">Protections auditives</t>
  </si>
  <si>
    <t xml:space="preserve">OBLIGATOIRES — les F1 sont à ~130 dB</t>
  </si>
  <si>
    <t xml:space="preserve">👂 Sécurité</t>
  </si>
  <si>
    <t xml:space="preserve">10–30 €</t>
  </si>
  <si>
    <t xml:space="preserve">🧮  SIMULATEUR DE BUDGET — MON WEEK-END F1</t>
  </si>
  <si>
    <t xml:space="preserve">  PARAMÈTRES</t>
  </si>
  <si>
    <t xml:space="preserve">Grand Prix choisi</t>
  </si>
  <si>
    <t xml:space="preserve">Monaco</t>
  </si>
  <si>
    <t xml:space="preserve">← Modifier</t>
  </si>
  <si>
    <t xml:space="preserve">Catégorie billet</t>
  </si>
  <si>
    <t xml:space="preserve">Nombre de personnes</t>
  </si>
  <si>
    <t xml:space="preserve">Nuits d'hôtel</t>
  </si>
  <si>
    <t xml:space="preserve">Budget hôtel/nuit</t>
  </si>
  <si>
    <t xml:space="preserve">€</t>
  </si>
  <si>
    <t xml:space="preserve">  ESTIMATION DU COÛT TOTAL</t>
  </si>
  <si>
    <t xml:space="preserve">Billets (x personnes)</t>
  </si>
  <si>
    <t xml:space="preserve">Note: basé sur prix Monaco Tribune Premium</t>
  </si>
  <si>
    <t xml:space="preserve">Hôtel (nuits × pers.)</t>
  </si>
  <si>
    <t xml:space="preserve">Transport estimé</t>
  </si>
  <si>
    <t xml:space="preserve">Restauration sur circuit</t>
  </si>
  <si>
    <t xml:space="preserve">3 jours × 40 €/pers</t>
  </si>
  <si>
    <t xml:space="preserve">Merchandising estimé</t>
  </si>
  <si>
    <t xml:space="preserve">TOTAL ESTIMÉ</t>
  </si>
  <si>
    <t xml:space="preserve">← Estimation indicative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</si>
</sst>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General"/>
    <numFmt numFmtId="167" formatCode="0.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F5F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F5F5F0"/>
      <name val="Arial"/>
      <family val="0"/>
      <charset val="1"/>
    </font>
    <font>
      <sz val="10"/>
      <color rgb="FFECECEC"/>
      <name val="Arial"/>
      <family val="0"/>
      <charset val="1"/>
    </font>
    <font>
      <b val="true"/>
      <sz val="9"/>
      <color rgb="FFE8002D"/>
      <name val="Arial"/>
      <family val="0"/>
      <charset val="1"/>
    </font>
    <font>
      <b val="true"/>
      <sz val="11"/>
      <color rgb="FFE8002D"/>
      <name val="Arial"/>
      <family val="0"/>
      <charset val="1"/>
    </font>
    <font>
      <b val="true"/>
      <sz val="16"/>
      <color rgb="FFF5F5F0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E8002D"/>
      <name val="Arial"/>
      <family val="0"/>
      <charset val="1"/>
    </font>
    <font>
      <b val="true"/>
      <sz val="8"/>
      <color rgb="FF888888"/>
      <name val="Arial"/>
      <family val="0"/>
      <charset val="1"/>
    </font>
    <font>
      <sz val="9"/>
      <color rgb="FFECECEC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1"/>
      <color rgb="FF61DAFB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5F5F0"/>
      <name val="Arial"/>
      <family val="0"/>
      <charset val="1"/>
    </font>
    <font>
      <b val="true"/>
      <sz val="14"/>
      <color rgb="FFF5F5F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002D"/>
        <bgColor rgb="FF800000"/>
      </patternFill>
    </fill>
    <fill>
      <patternFill patternType="solid">
        <fgColor rgb="FF141414"/>
        <bgColor rgb="FF1A1A1A"/>
      </patternFill>
    </fill>
    <fill>
      <patternFill patternType="solid">
        <fgColor rgb="FF0D0D0D"/>
        <bgColor rgb="FF141414"/>
      </patternFill>
    </fill>
    <fill>
      <patternFill patternType="solid">
        <fgColor rgb="FF1A1A1A"/>
        <bgColor rgb="FF141414"/>
      </patternFill>
    </fill>
    <fill>
      <patternFill patternType="solid">
        <fgColor rgb="FF0A1A2A"/>
        <bgColor rgb="FF14141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 style="thin">
        <color rgb="FFE8002D"/>
      </left>
      <right/>
      <top style="thin">
        <color rgb="FFE8002D"/>
      </top>
      <bottom style="thin">
        <color rgb="FFE8002D"/>
      </bottom>
      <diagonal/>
    </border>
    <border diagonalUp="false" diagonalDown="false">
      <left style="thin">
        <color rgb="FFE8002D"/>
      </left>
      <right style="thin">
        <color rgb="FFE8002D"/>
      </right>
      <top style="thin">
        <color rgb="FFE8002D"/>
      </top>
      <bottom style="thin">
        <color rgb="FFE800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E8002D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008080"/>
      <rgbColor rgb="FFC0C0C0"/>
      <rgbColor rgb="FF878787"/>
      <rgbColor rgb="FF9999FF"/>
      <rgbColor rgb="FF993366"/>
      <rgbColor rgb="FFF5F5F0"/>
      <rgbColor rgb="FFEC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78ADD"/>
      <rgbColor rgb="FF61DAFB"/>
      <rgbColor rgb="FF99CC00"/>
      <rgbColor rgb="FFFFCC00"/>
      <rgbColor rgb="FFC9A84C"/>
      <rgbColor rgb="FFFF6600"/>
      <rgbColor rgb="FF666699"/>
      <rgbColor rgb="FF888888"/>
      <rgbColor rgb="FF141414"/>
      <rgbColor rgb="FF1D9E75"/>
      <rgbColor rgb="FF0A1A2A"/>
      <rgbColor rgb="FF1A1A1A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Prix des billets par Grand Prix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Comparateur'!C4</c:f>
              <c:strCache>
                <c:ptCount val="1"/>
                <c:pt idx="0">
                  <c:v>TRIBUNE
BASIQUE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Comparateur'!$B$5:$B$19</c:f>
              <c:strCache>
                <c:ptCount val="15"/>
                <c:pt idx="0">
                  <c:v>🇲🇨 Monaco</c:v>
                </c:pt>
                <c:pt idx="1">
                  <c:v>🇬🇧 Silverstone</c:v>
                </c:pt>
                <c:pt idx="2">
                  <c:v>🇧🇪 Spa-Francorchamps</c:v>
                </c:pt>
                <c:pt idx="3">
                  <c:v>🇮🇹 Monza</c:v>
                </c:pt>
                <c:pt idx="4">
                  <c:v>🇯🇵 Suzuka</c:v>
                </c:pt>
                <c:pt idx="5">
                  <c:v>🇦🇺 Melbourne</c:v>
                </c:pt>
                <c:pt idx="6">
                  <c:v>🇺🇸 Austin (COTA)</c:v>
                </c:pt>
                <c:pt idx="7">
                  <c:v>🇦🇹 Autriche</c:v>
                </c:pt>
                <c:pt idx="8">
                  <c:v>🇸🇬 Singapour</c:v>
                </c:pt>
                <c:pt idx="9">
                  <c:v>🇭🇺 Hongrie</c:v>
                </c:pt>
                <c:pt idx="10">
                  <c:v>🇦🇿 Azerbaïdjan</c:v>
                </c:pt>
                <c:pt idx="11">
                  <c:v>🇸🇦 Arabie Saoudite</c:v>
                </c:pt>
                <c:pt idx="12">
                  <c:v>🇦🇪 Abu Dhabi</c:v>
                </c:pt>
                <c:pt idx="13">
                  <c:v>🇨🇦 Canada</c:v>
                </c:pt>
                <c:pt idx="14">
                  <c:v>🇳🇱 Pays-Bas</c:v>
                </c:pt>
              </c:strCache>
            </c:strRef>
          </c:cat>
          <c:val>
            <c:numRef>
              <c:f>'📊 Comparateur'!$C$5:$C$19</c:f>
              <c:numCache>
                <c:formatCode>#,##0" €"</c:formatCode>
                <c:ptCount val="15"/>
                <c:pt idx="0">
                  <c:v>350</c:v>
                </c:pt>
                <c:pt idx="1">
                  <c:v>120</c:v>
                </c:pt>
                <c:pt idx="2">
                  <c:v>95</c:v>
                </c:pt>
                <c:pt idx="3">
                  <c:v>110</c:v>
                </c:pt>
                <c:pt idx="4">
                  <c:v>180</c:v>
                </c:pt>
                <c:pt idx="5">
                  <c:v>140</c:v>
                </c:pt>
                <c:pt idx="6">
                  <c:v>160</c:v>
                </c:pt>
                <c:pt idx="7">
                  <c:v>85</c:v>
                </c:pt>
                <c:pt idx="8">
                  <c:v>220</c:v>
                </c:pt>
                <c:pt idx="9">
                  <c:v>90</c:v>
                </c:pt>
                <c:pt idx="10">
                  <c:v>200</c:v>
                </c:pt>
                <c:pt idx="11">
                  <c:v>280</c:v>
                </c:pt>
                <c:pt idx="12">
                  <c:v>260</c:v>
                </c:pt>
                <c:pt idx="13">
                  <c:v>150</c:v>
                </c:pt>
                <c:pt idx="14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'📊 Comparateur'!D4</c:f>
              <c:strCache>
                <c:ptCount val="1"/>
                <c:pt idx="0">
                  <c:v>TRIBUNE
PREMIUM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Comparateur'!$B$5:$B$19</c:f>
              <c:strCache>
                <c:ptCount val="15"/>
                <c:pt idx="0">
                  <c:v>🇲🇨 Monaco</c:v>
                </c:pt>
                <c:pt idx="1">
                  <c:v>🇬🇧 Silverstone</c:v>
                </c:pt>
                <c:pt idx="2">
                  <c:v>🇧🇪 Spa-Francorchamps</c:v>
                </c:pt>
                <c:pt idx="3">
                  <c:v>🇮🇹 Monza</c:v>
                </c:pt>
                <c:pt idx="4">
                  <c:v>🇯🇵 Suzuka</c:v>
                </c:pt>
                <c:pt idx="5">
                  <c:v>🇦🇺 Melbourne</c:v>
                </c:pt>
                <c:pt idx="6">
                  <c:v>🇺🇸 Austin (COTA)</c:v>
                </c:pt>
                <c:pt idx="7">
                  <c:v>🇦🇹 Autriche</c:v>
                </c:pt>
                <c:pt idx="8">
                  <c:v>🇸🇬 Singapour</c:v>
                </c:pt>
                <c:pt idx="9">
                  <c:v>🇭🇺 Hongrie</c:v>
                </c:pt>
                <c:pt idx="10">
                  <c:v>🇦🇿 Azerbaïdjan</c:v>
                </c:pt>
                <c:pt idx="11">
                  <c:v>🇸🇦 Arabie Saoudite</c:v>
                </c:pt>
                <c:pt idx="12">
                  <c:v>🇦🇪 Abu Dhabi</c:v>
                </c:pt>
                <c:pt idx="13">
                  <c:v>🇨🇦 Canada</c:v>
                </c:pt>
                <c:pt idx="14">
                  <c:v>🇳🇱 Pays-Bas</c:v>
                </c:pt>
              </c:strCache>
            </c:strRef>
          </c:cat>
          <c:val>
            <c:numRef>
              <c:f>'📊 Comparateur'!$D$5:$D$19</c:f>
              <c:numCache>
                <c:formatCode>#,##0" €"</c:formatCode>
                <c:ptCount val="15"/>
                <c:pt idx="0">
                  <c:v>1200</c:v>
                </c:pt>
                <c:pt idx="1">
                  <c:v>550</c:v>
                </c:pt>
                <c:pt idx="2">
                  <c:v>480</c:v>
                </c:pt>
                <c:pt idx="3">
                  <c:v>520</c:v>
                </c:pt>
                <c:pt idx="4">
                  <c:v>600</c:v>
                </c:pt>
                <c:pt idx="5">
                  <c:v>560</c:v>
                </c:pt>
                <c:pt idx="6">
                  <c:v>650</c:v>
                </c:pt>
                <c:pt idx="7">
                  <c:v>380</c:v>
                </c:pt>
                <c:pt idx="8">
                  <c:v>820</c:v>
                </c:pt>
                <c:pt idx="9">
                  <c:v>420</c:v>
                </c:pt>
                <c:pt idx="10">
                  <c:v>750</c:v>
                </c:pt>
                <c:pt idx="11">
                  <c:v>980</c:v>
                </c:pt>
                <c:pt idx="12">
                  <c:v>900</c:v>
                </c:pt>
                <c:pt idx="13">
                  <c:v>590</c:v>
                </c:pt>
                <c:pt idx="14">
                  <c:v>530</c:v>
                </c:pt>
              </c:numCache>
            </c:numRef>
          </c:val>
        </c:ser>
        <c:ser>
          <c:idx val="2"/>
          <c:order val="2"/>
          <c:tx>
            <c:strRef>
              <c:f>'📊 Comparateur'!E4</c:f>
              <c:strCache>
                <c:ptCount val="1"/>
                <c:pt idx="0">
                  <c:v>HOSPITALITY
VIP</c:v>
                </c:pt>
              </c:strCache>
            </c:strRef>
          </c:tx>
          <c:spPr>
            <a:solidFill>
              <a:srgbClr val="e800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Comparateur'!$B$5:$B$19</c:f>
              <c:strCache>
                <c:ptCount val="15"/>
                <c:pt idx="0">
                  <c:v>🇲🇨 Monaco</c:v>
                </c:pt>
                <c:pt idx="1">
                  <c:v>🇬🇧 Silverstone</c:v>
                </c:pt>
                <c:pt idx="2">
                  <c:v>🇧🇪 Spa-Francorchamps</c:v>
                </c:pt>
                <c:pt idx="3">
                  <c:v>🇮🇹 Monza</c:v>
                </c:pt>
                <c:pt idx="4">
                  <c:v>🇯🇵 Suzuka</c:v>
                </c:pt>
                <c:pt idx="5">
                  <c:v>🇦🇺 Melbourne</c:v>
                </c:pt>
                <c:pt idx="6">
                  <c:v>🇺🇸 Austin (COTA)</c:v>
                </c:pt>
                <c:pt idx="7">
                  <c:v>🇦🇹 Autriche</c:v>
                </c:pt>
                <c:pt idx="8">
                  <c:v>🇸🇬 Singapour</c:v>
                </c:pt>
                <c:pt idx="9">
                  <c:v>🇭🇺 Hongrie</c:v>
                </c:pt>
                <c:pt idx="10">
                  <c:v>🇦🇿 Azerbaïdjan</c:v>
                </c:pt>
                <c:pt idx="11">
                  <c:v>🇸🇦 Arabie Saoudite</c:v>
                </c:pt>
                <c:pt idx="12">
                  <c:v>🇦🇪 Abu Dhabi</c:v>
                </c:pt>
                <c:pt idx="13">
                  <c:v>🇨🇦 Canada</c:v>
                </c:pt>
                <c:pt idx="14">
                  <c:v>🇳🇱 Pays-Bas</c:v>
                </c:pt>
              </c:strCache>
            </c:strRef>
          </c:cat>
          <c:val>
            <c:numRef>
              <c:f>'📊 Comparateur'!$E$5:$E$19</c:f>
              <c:numCache>
                <c:formatCode>#,##0" €"</c:formatCode>
                <c:ptCount val="15"/>
                <c:pt idx="0">
                  <c:v>8000</c:v>
                </c:pt>
                <c:pt idx="1">
                  <c:v>5000</c:v>
                </c:pt>
                <c:pt idx="2">
                  <c:v>4500</c:v>
                </c:pt>
                <c:pt idx="3">
                  <c:v>5500</c:v>
                </c:pt>
                <c:pt idx="4">
                  <c:v>6000</c:v>
                </c:pt>
                <c:pt idx="5">
                  <c:v>5800</c:v>
                </c:pt>
                <c:pt idx="6">
                  <c:v>7000</c:v>
                </c:pt>
                <c:pt idx="7">
                  <c:v>4000</c:v>
                </c:pt>
                <c:pt idx="8">
                  <c:v>9000</c:v>
                </c:pt>
                <c:pt idx="9">
                  <c:v>4200</c:v>
                </c:pt>
                <c:pt idx="10">
                  <c:v>7500</c:v>
                </c:pt>
                <c:pt idx="11">
                  <c:v>9500</c:v>
                </c:pt>
                <c:pt idx="12">
                  <c:v>8500</c:v>
                </c:pt>
                <c:pt idx="13">
                  <c:v>6200</c:v>
                </c:pt>
                <c:pt idx="14">
                  <c:v>5500</c:v>
                </c:pt>
              </c:numCache>
            </c:numRef>
          </c:val>
        </c:ser>
        <c:gapWidth val="150"/>
        <c:overlap val="0"/>
        <c:axId val="50668484"/>
        <c:axId val="55030588"/>
      </c:barChart>
      <c:catAx>
        <c:axId val="50668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30588"/>
        <c:crosses val="autoZero"/>
        <c:auto val="1"/>
        <c:lblAlgn val="ctr"/>
        <c:lblOffset val="100"/>
        <c:noMultiLvlLbl val="0"/>
      </c:catAx>
      <c:valAx>
        <c:axId val="55030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Prix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68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10</xdr:col>
      <xdr:colOff>303120</xdr:colOff>
      <xdr:row>44</xdr:row>
      <xdr:rowOff>126360</xdr:rowOff>
    </xdr:to>
    <xdr:graphicFrame>
      <xdr:nvGraphicFramePr>
        <xdr:cNvPr id="0" name="Chart 1"/>
        <xdr:cNvGraphicFramePr/>
      </xdr:nvGraphicFramePr>
      <xdr:xfrm>
        <a:off x="211320" y="587700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002D"/>
    <pageSetUpPr fitToPage="false"/>
  </sheetPr>
  <dimension ref="B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8" min="4" style="0" width="16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12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customFormat="false" ht="21.75" hidden="false" customHeight="true" outlineLevel="0" collapsed="false">
      <c r="B5" s="4" t="s">
        <v>11</v>
      </c>
      <c r="C5" s="4" t="s">
        <v>12</v>
      </c>
      <c r="D5" s="5" t="n">
        <v>350</v>
      </c>
      <c r="E5" s="5" t="n">
        <v>650</v>
      </c>
      <c r="F5" s="5" t="n">
        <v>1200</v>
      </c>
      <c r="G5" s="5" t="n">
        <v>2500</v>
      </c>
      <c r="H5" s="5" t="n">
        <v>8000</v>
      </c>
      <c r="I5" s="6" t="n">
        <f aca="false">F5+G5</f>
        <v>3700</v>
      </c>
      <c r="J5" s="7" t="s">
        <v>13</v>
      </c>
    </row>
    <row r="6" customFormat="false" ht="21.75" hidden="false" customHeight="true" outlineLevel="0" collapsed="false">
      <c r="B6" s="8" t="s">
        <v>14</v>
      </c>
      <c r="C6" s="8" t="s">
        <v>15</v>
      </c>
      <c r="D6" s="9" t="n">
        <v>120</v>
      </c>
      <c r="E6" s="9" t="n">
        <v>280</v>
      </c>
      <c r="F6" s="9" t="n">
        <v>550</v>
      </c>
      <c r="G6" s="9" t="n">
        <v>1800</v>
      </c>
      <c r="H6" s="9" t="n">
        <v>5000</v>
      </c>
      <c r="I6" s="10" t="n">
        <f aca="false">F6+G6</f>
        <v>2350</v>
      </c>
      <c r="J6" s="11" t="s">
        <v>16</v>
      </c>
    </row>
    <row r="7" customFormat="false" ht="21.75" hidden="false" customHeight="true" outlineLevel="0" collapsed="false">
      <c r="B7" s="4" t="s">
        <v>17</v>
      </c>
      <c r="C7" s="4" t="s">
        <v>18</v>
      </c>
      <c r="D7" s="5" t="n">
        <v>95</v>
      </c>
      <c r="E7" s="5" t="n">
        <v>220</v>
      </c>
      <c r="F7" s="5" t="n">
        <v>480</v>
      </c>
      <c r="G7" s="5" t="n">
        <v>1500</v>
      </c>
      <c r="H7" s="5" t="n">
        <v>4500</v>
      </c>
      <c r="I7" s="6" t="n">
        <f aca="false">F7+G7</f>
        <v>1980</v>
      </c>
      <c r="J7" s="7" t="s">
        <v>19</v>
      </c>
    </row>
    <row r="8" customFormat="false" ht="21.75" hidden="false" customHeight="true" outlineLevel="0" collapsed="false">
      <c r="B8" s="8" t="s">
        <v>20</v>
      </c>
      <c r="C8" s="8" t="s">
        <v>21</v>
      </c>
      <c r="D8" s="9" t="n">
        <v>110</v>
      </c>
      <c r="E8" s="9" t="n">
        <v>250</v>
      </c>
      <c r="F8" s="9" t="n">
        <v>520</v>
      </c>
      <c r="G8" s="9" t="n">
        <v>1700</v>
      </c>
      <c r="H8" s="9" t="n">
        <v>5500</v>
      </c>
      <c r="I8" s="10" t="n">
        <f aca="false">F8+G8</f>
        <v>2220</v>
      </c>
      <c r="J8" s="11" t="s">
        <v>22</v>
      </c>
    </row>
    <row r="9" customFormat="false" ht="21.75" hidden="false" customHeight="true" outlineLevel="0" collapsed="false">
      <c r="B9" s="4" t="s">
        <v>23</v>
      </c>
      <c r="C9" s="4" t="s">
        <v>24</v>
      </c>
      <c r="D9" s="5" t="n">
        <v>180</v>
      </c>
      <c r="E9" s="5" t="n">
        <v>320</v>
      </c>
      <c r="F9" s="5" t="n">
        <v>600</v>
      </c>
      <c r="G9" s="5" t="n">
        <v>2000</v>
      </c>
      <c r="H9" s="5" t="n">
        <v>6000</v>
      </c>
      <c r="I9" s="6" t="n">
        <f aca="false">F9+G9</f>
        <v>2600</v>
      </c>
      <c r="J9" s="7" t="s">
        <v>25</v>
      </c>
    </row>
    <row r="10" customFormat="false" ht="21.75" hidden="false" customHeight="true" outlineLevel="0" collapsed="false">
      <c r="B10" s="8" t="s">
        <v>26</v>
      </c>
      <c r="C10" s="8" t="s">
        <v>27</v>
      </c>
      <c r="D10" s="9" t="n">
        <v>140</v>
      </c>
      <c r="E10" s="9" t="n">
        <v>290</v>
      </c>
      <c r="F10" s="9" t="n">
        <v>560</v>
      </c>
      <c r="G10" s="9" t="n">
        <v>1900</v>
      </c>
      <c r="H10" s="9" t="n">
        <v>5800</v>
      </c>
      <c r="I10" s="10" t="n">
        <f aca="false">F10+G10</f>
        <v>2460</v>
      </c>
      <c r="J10" s="11" t="s">
        <v>28</v>
      </c>
    </row>
    <row r="11" customFormat="false" ht="21.75" hidden="false" customHeight="true" outlineLevel="0" collapsed="false">
      <c r="B11" s="4" t="s">
        <v>29</v>
      </c>
      <c r="C11" s="4" t="s">
        <v>30</v>
      </c>
      <c r="D11" s="5" t="n">
        <v>160</v>
      </c>
      <c r="E11" s="5" t="n">
        <v>340</v>
      </c>
      <c r="F11" s="5" t="n">
        <v>650</v>
      </c>
      <c r="G11" s="5" t="n">
        <v>2200</v>
      </c>
      <c r="H11" s="5" t="n">
        <v>7000</v>
      </c>
      <c r="I11" s="6" t="n">
        <f aca="false">F11+G11</f>
        <v>2850</v>
      </c>
      <c r="J11" s="7" t="s">
        <v>31</v>
      </c>
    </row>
    <row r="12" customFormat="false" ht="21.75" hidden="false" customHeight="true" outlineLevel="0" collapsed="false">
      <c r="B12" s="8" t="s">
        <v>32</v>
      </c>
      <c r="C12" s="8" t="s">
        <v>33</v>
      </c>
      <c r="D12" s="9" t="n">
        <v>85</v>
      </c>
      <c r="E12" s="9" t="n">
        <v>190</v>
      </c>
      <c r="F12" s="9" t="n">
        <v>380</v>
      </c>
      <c r="G12" s="9" t="n">
        <v>1300</v>
      </c>
      <c r="H12" s="9" t="n">
        <v>4000</v>
      </c>
      <c r="I12" s="10" t="n">
        <f aca="false">F12+G12</f>
        <v>1680</v>
      </c>
      <c r="J12" s="11" t="s">
        <v>34</v>
      </c>
    </row>
    <row r="13" customFormat="false" ht="21.75" hidden="false" customHeight="true" outlineLevel="0" collapsed="false">
      <c r="B13" s="4" t="s">
        <v>35</v>
      </c>
      <c r="C13" s="4" t="s">
        <v>36</v>
      </c>
      <c r="D13" s="5" t="n">
        <v>220</v>
      </c>
      <c r="E13" s="5" t="n">
        <v>420</v>
      </c>
      <c r="F13" s="5" t="n">
        <v>820</v>
      </c>
      <c r="G13" s="5" t="n">
        <v>2800</v>
      </c>
      <c r="H13" s="5" t="n">
        <v>9000</v>
      </c>
      <c r="I13" s="6" t="n">
        <f aca="false">F13+G13</f>
        <v>3620</v>
      </c>
      <c r="J13" s="7" t="s">
        <v>37</v>
      </c>
    </row>
    <row r="14" customFormat="false" ht="21.75" hidden="false" customHeight="true" outlineLevel="0" collapsed="false">
      <c r="B14" s="8" t="s">
        <v>38</v>
      </c>
      <c r="C14" s="8" t="s">
        <v>39</v>
      </c>
      <c r="D14" s="9" t="n">
        <v>90</v>
      </c>
      <c r="E14" s="9" t="n">
        <v>200</v>
      </c>
      <c r="F14" s="9" t="n">
        <v>420</v>
      </c>
      <c r="G14" s="9" t="n">
        <v>1400</v>
      </c>
      <c r="H14" s="9" t="n">
        <v>4200</v>
      </c>
      <c r="I14" s="10" t="n">
        <f aca="false">F14+G14</f>
        <v>1820</v>
      </c>
      <c r="J14" s="11" t="s">
        <v>40</v>
      </c>
    </row>
    <row r="15" customFormat="false" ht="21.75" hidden="false" customHeight="true" outlineLevel="0" collapsed="false">
      <c r="B15" s="4" t="s">
        <v>41</v>
      </c>
      <c r="C15" s="4" t="s">
        <v>42</v>
      </c>
      <c r="D15" s="5" t="n">
        <v>200</v>
      </c>
      <c r="E15" s="5" t="n">
        <v>380</v>
      </c>
      <c r="F15" s="5" t="n">
        <v>750</v>
      </c>
      <c r="G15" s="5" t="n">
        <v>2400</v>
      </c>
      <c r="H15" s="5" t="n">
        <v>7500</v>
      </c>
      <c r="I15" s="6" t="n">
        <f aca="false">F15+G15</f>
        <v>3150</v>
      </c>
      <c r="J15" s="7" t="s">
        <v>43</v>
      </c>
    </row>
    <row r="16" customFormat="false" ht="21.75" hidden="false" customHeight="true" outlineLevel="0" collapsed="false">
      <c r="B16" s="8" t="s">
        <v>44</v>
      </c>
      <c r="C16" s="8" t="s">
        <v>45</v>
      </c>
      <c r="D16" s="9" t="n">
        <v>280</v>
      </c>
      <c r="E16" s="9" t="n">
        <v>520</v>
      </c>
      <c r="F16" s="9" t="n">
        <v>980</v>
      </c>
      <c r="G16" s="9" t="n">
        <v>3000</v>
      </c>
      <c r="H16" s="9" t="n">
        <v>9500</v>
      </c>
      <c r="I16" s="10" t="n">
        <f aca="false">F16+G16</f>
        <v>3980</v>
      </c>
      <c r="J16" s="11" t="s">
        <v>46</v>
      </c>
    </row>
    <row r="17" customFormat="false" ht="21.75" hidden="false" customHeight="true" outlineLevel="0" collapsed="false">
      <c r="B17" s="4" t="s">
        <v>47</v>
      </c>
      <c r="C17" s="4" t="s">
        <v>48</v>
      </c>
      <c r="D17" s="5" t="n">
        <v>260</v>
      </c>
      <c r="E17" s="5" t="n">
        <v>480</v>
      </c>
      <c r="F17" s="5" t="n">
        <v>900</v>
      </c>
      <c r="G17" s="5" t="n">
        <v>2700</v>
      </c>
      <c r="H17" s="5" t="n">
        <v>8500</v>
      </c>
      <c r="I17" s="6" t="n">
        <f aca="false">F17+G17</f>
        <v>3600</v>
      </c>
      <c r="J17" s="7" t="s">
        <v>49</v>
      </c>
    </row>
    <row r="18" customFormat="false" ht="21.75" hidden="false" customHeight="true" outlineLevel="0" collapsed="false">
      <c r="B18" s="8" t="s">
        <v>50</v>
      </c>
      <c r="C18" s="8" t="s">
        <v>51</v>
      </c>
      <c r="D18" s="9" t="n">
        <v>150</v>
      </c>
      <c r="E18" s="9" t="n">
        <v>310</v>
      </c>
      <c r="F18" s="9" t="n">
        <v>590</v>
      </c>
      <c r="G18" s="9" t="n">
        <v>2000</v>
      </c>
      <c r="H18" s="9" t="n">
        <v>6200</v>
      </c>
      <c r="I18" s="10" t="n">
        <f aca="false">F18+G18</f>
        <v>2590</v>
      </c>
      <c r="J18" s="11" t="s">
        <v>52</v>
      </c>
    </row>
    <row r="19" customFormat="false" ht="21.75" hidden="false" customHeight="true" outlineLevel="0" collapsed="false">
      <c r="B19" s="4" t="s">
        <v>53</v>
      </c>
      <c r="C19" s="4" t="s">
        <v>54</v>
      </c>
      <c r="D19" s="5" t="n">
        <v>130</v>
      </c>
      <c r="E19" s="5" t="n">
        <v>270</v>
      </c>
      <c r="F19" s="5" t="n">
        <v>530</v>
      </c>
      <c r="G19" s="5" t="n">
        <v>1800</v>
      </c>
      <c r="H19" s="5" t="n">
        <v>5500</v>
      </c>
      <c r="I19" s="6" t="n">
        <f aca="false">F19+G19</f>
        <v>2330</v>
      </c>
      <c r="J19" s="7" t="s">
        <v>55</v>
      </c>
    </row>
    <row r="20" customFormat="false" ht="21.75" hidden="false" customHeight="true" outlineLevel="0" collapsed="false"/>
    <row r="21" customFormat="false" ht="7.5" hidden="false" customHeight="true" outlineLevel="0" collapsed="false"/>
    <row r="22" customFormat="false" ht="21.75" hidden="false" customHeight="true" outlineLevel="0" collapsed="false">
      <c r="B22" s="12" t="s">
        <v>56</v>
      </c>
      <c r="C22" s="12"/>
    </row>
    <row r="23" customFormat="false" ht="21.75" hidden="false" customHeight="true" outlineLevel="0" collapsed="false">
      <c r="B23" s="13" t="s">
        <v>57</v>
      </c>
      <c r="C23" s="13"/>
      <c r="D23" s="14" t="n">
        <f aca="false">MIN(D5:D19)</f>
        <v>85</v>
      </c>
    </row>
    <row r="24" customFormat="false" ht="21.75" hidden="false" customHeight="true" outlineLevel="0" collapsed="false">
      <c r="B24" s="13" t="s">
        <v>58</v>
      </c>
      <c r="C24" s="13"/>
      <c r="D24" s="14" t="n">
        <f aca="false">MAX(F5:F19)</f>
        <v>1200</v>
      </c>
    </row>
    <row r="25" customFormat="false" ht="21.75" hidden="false" customHeight="true" outlineLevel="0" collapsed="false">
      <c r="B25" s="13" t="s">
        <v>59</v>
      </c>
      <c r="C25" s="13"/>
      <c r="D25" s="14" t="n">
        <f aca="false">AVERAGE(D5:D19)</f>
        <v>171.333333333333</v>
      </c>
    </row>
    <row r="26" customFormat="false" ht="21.75" hidden="false" customHeight="true" outlineLevel="0" collapsed="false">
      <c r="B26" s="13" t="s">
        <v>60</v>
      </c>
      <c r="C26" s="13"/>
      <c r="D26" s="14" t="n">
        <f aca="false">AVERAGE(H5:H19)</f>
        <v>6413.33333333333</v>
      </c>
    </row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7">
    <mergeCell ref="B2:J2"/>
    <mergeCell ref="B3:J3"/>
    <mergeCell ref="B22:C22"/>
    <mergeCell ref="B23:C23"/>
    <mergeCell ref="B24:C24"/>
    <mergeCell ref="B25:C25"/>
    <mergeCell ref="B26:C26"/>
  </mergeCells>
  <conditionalFormatting sqref="D5:H19">
    <cfRule type="colorScale" priority="2">
      <colorScale>
        <cfvo type="min" val="0"/>
        <cfvo type="percentile" val="50"/>
        <cfvo type="max" val="0"/>
        <color rgb="FF1A6B1A"/>
        <color rgb="FFC9A84C"/>
        <color rgb="FFE8002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</cols>
  <sheetData>
    <row r="1" customFormat="false" ht="12" hidden="false" customHeight="true" outlineLevel="0" collapsed="false"/>
    <row r="2" customFormat="false" ht="43.5" hidden="false" customHeight="true" outlineLevel="0" collapsed="false">
      <c r="B2" s="15" t="s">
        <v>61</v>
      </c>
      <c r="C2" s="15"/>
      <c r="D2" s="15"/>
      <c r="E2" s="15"/>
      <c r="F2" s="15"/>
    </row>
    <row r="3" customFormat="false" ht="15.75" hidden="false" customHeight="true" outlineLevel="0" collapsed="false">
      <c r="B3" s="2" t="s">
        <v>62</v>
      </c>
      <c r="C3" s="2"/>
      <c r="D3" s="2"/>
      <c r="E3" s="2"/>
      <c r="F3" s="2"/>
    </row>
    <row r="4" customFormat="false" ht="21.75" hidden="false" customHeight="true" outlineLevel="0" collapsed="false">
      <c r="B4" s="3" t="s">
        <v>2</v>
      </c>
      <c r="C4" s="3" t="s">
        <v>4</v>
      </c>
      <c r="D4" s="3" t="s">
        <v>6</v>
      </c>
      <c r="E4" s="3" t="s">
        <v>8</v>
      </c>
      <c r="F4" s="3" t="s">
        <v>63</v>
      </c>
    </row>
    <row r="5" customFormat="false" ht="21.75" hidden="false" customHeight="true" outlineLevel="0" collapsed="false">
      <c r="B5" s="4" t="s">
        <v>11</v>
      </c>
      <c r="C5" s="5" t="n">
        <v>350</v>
      </c>
      <c r="D5" s="5" t="n">
        <v>1200</v>
      </c>
      <c r="E5" s="5" t="n">
        <v>8000</v>
      </c>
      <c r="F5" s="16" t="n">
        <f aca="false">D5/C5</f>
        <v>3.42857142857143</v>
      </c>
    </row>
    <row r="6" customFormat="false" ht="21.75" hidden="false" customHeight="true" outlineLevel="0" collapsed="false">
      <c r="B6" s="8" t="s">
        <v>14</v>
      </c>
      <c r="C6" s="9" t="n">
        <v>120</v>
      </c>
      <c r="D6" s="9" t="n">
        <v>550</v>
      </c>
      <c r="E6" s="9" t="n">
        <v>5000</v>
      </c>
      <c r="F6" s="17" t="n">
        <f aca="false">D6/C6</f>
        <v>4.58333333333333</v>
      </c>
    </row>
    <row r="7" customFormat="false" ht="21.75" hidden="false" customHeight="true" outlineLevel="0" collapsed="false">
      <c r="B7" s="4" t="s">
        <v>17</v>
      </c>
      <c r="C7" s="5" t="n">
        <v>95</v>
      </c>
      <c r="D7" s="5" t="n">
        <v>480</v>
      </c>
      <c r="E7" s="5" t="n">
        <v>4500</v>
      </c>
      <c r="F7" s="16" t="n">
        <f aca="false">D7/C7</f>
        <v>5.05263157894737</v>
      </c>
    </row>
    <row r="8" customFormat="false" ht="21.75" hidden="false" customHeight="true" outlineLevel="0" collapsed="false">
      <c r="B8" s="8" t="s">
        <v>20</v>
      </c>
      <c r="C8" s="9" t="n">
        <v>110</v>
      </c>
      <c r="D8" s="9" t="n">
        <v>520</v>
      </c>
      <c r="E8" s="9" t="n">
        <v>5500</v>
      </c>
      <c r="F8" s="17" t="n">
        <f aca="false">D8/C8</f>
        <v>4.72727272727273</v>
      </c>
    </row>
    <row r="9" customFormat="false" ht="21.75" hidden="false" customHeight="true" outlineLevel="0" collapsed="false">
      <c r="B9" s="4" t="s">
        <v>23</v>
      </c>
      <c r="C9" s="5" t="n">
        <v>180</v>
      </c>
      <c r="D9" s="5" t="n">
        <v>600</v>
      </c>
      <c r="E9" s="5" t="n">
        <v>6000</v>
      </c>
      <c r="F9" s="16" t="n">
        <f aca="false">D9/C9</f>
        <v>3.33333333333333</v>
      </c>
    </row>
    <row r="10" customFormat="false" ht="21.75" hidden="false" customHeight="true" outlineLevel="0" collapsed="false">
      <c r="B10" s="8" t="s">
        <v>26</v>
      </c>
      <c r="C10" s="9" t="n">
        <v>140</v>
      </c>
      <c r="D10" s="9" t="n">
        <v>560</v>
      </c>
      <c r="E10" s="9" t="n">
        <v>5800</v>
      </c>
      <c r="F10" s="17" t="n">
        <f aca="false">D10/C10</f>
        <v>4</v>
      </c>
    </row>
    <row r="11" customFormat="false" ht="21.75" hidden="false" customHeight="true" outlineLevel="0" collapsed="false">
      <c r="B11" s="4" t="s">
        <v>29</v>
      </c>
      <c r="C11" s="5" t="n">
        <v>160</v>
      </c>
      <c r="D11" s="5" t="n">
        <v>650</v>
      </c>
      <c r="E11" s="5" t="n">
        <v>7000</v>
      </c>
      <c r="F11" s="16" t="n">
        <f aca="false">D11/C11</f>
        <v>4.0625</v>
      </c>
    </row>
    <row r="12" customFormat="false" ht="21.75" hidden="false" customHeight="true" outlineLevel="0" collapsed="false">
      <c r="B12" s="8" t="s">
        <v>32</v>
      </c>
      <c r="C12" s="9" t="n">
        <v>85</v>
      </c>
      <c r="D12" s="9" t="n">
        <v>380</v>
      </c>
      <c r="E12" s="9" t="n">
        <v>4000</v>
      </c>
      <c r="F12" s="17" t="n">
        <f aca="false">D12/C12</f>
        <v>4.47058823529412</v>
      </c>
    </row>
    <row r="13" customFormat="false" ht="21.75" hidden="false" customHeight="true" outlineLevel="0" collapsed="false">
      <c r="B13" s="4" t="s">
        <v>35</v>
      </c>
      <c r="C13" s="5" t="n">
        <v>220</v>
      </c>
      <c r="D13" s="5" t="n">
        <v>820</v>
      </c>
      <c r="E13" s="5" t="n">
        <v>9000</v>
      </c>
      <c r="F13" s="16" t="n">
        <f aca="false">D13/C13</f>
        <v>3.72727272727273</v>
      </c>
    </row>
    <row r="14" customFormat="false" ht="21.75" hidden="false" customHeight="true" outlineLevel="0" collapsed="false">
      <c r="B14" s="8" t="s">
        <v>38</v>
      </c>
      <c r="C14" s="9" t="n">
        <v>90</v>
      </c>
      <c r="D14" s="9" t="n">
        <v>420</v>
      </c>
      <c r="E14" s="9" t="n">
        <v>4200</v>
      </c>
      <c r="F14" s="17" t="n">
        <f aca="false">D14/C14</f>
        <v>4.66666666666667</v>
      </c>
    </row>
    <row r="15" customFormat="false" ht="21.75" hidden="false" customHeight="true" outlineLevel="0" collapsed="false">
      <c r="B15" s="4" t="s">
        <v>41</v>
      </c>
      <c r="C15" s="5" t="n">
        <v>200</v>
      </c>
      <c r="D15" s="5" t="n">
        <v>750</v>
      </c>
      <c r="E15" s="5" t="n">
        <v>7500</v>
      </c>
      <c r="F15" s="16" t="n">
        <f aca="false">D15/C15</f>
        <v>3.75</v>
      </c>
    </row>
    <row r="16" customFormat="false" ht="21.75" hidden="false" customHeight="true" outlineLevel="0" collapsed="false">
      <c r="B16" s="8" t="s">
        <v>44</v>
      </c>
      <c r="C16" s="9" t="n">
        <v>280</v>
      </c>
      <c r="D16" s="9" t="n">
        <v>980</v>
      </c>
      <c r="E16" s="9" t="n">
        <v>9500</v>
      </c>
      <c r="F16" s="17" t="n">
        <f aca="false">D16/C16</f>
        <v>3.5</v>
      </c>
    </row>
    <row r="17" customFormat="false" ht="21.75" hidden="false" customHeight="true" outlineLevel="0" collapsed="false">
      <c r="B17" s="4" t="s">
        <v>47</v>
      </c>
      <c r="C17" s="5" t="n">
        <v>260</v>
      </c>
      <c r="D17" s="5" t="n">
        <v>900</v>
      </c>
      <c r="E17" s="5" t="n">
        <v>8500</v>
      </c>
      <c r="F17" s="16" t="n">
        <f aca="false">D17/C17</f>
        <v>3.46153846153846</v>
      </c>
    </row>
    <row r="18" customFormat="false" ht="21.75" hidden="false" customHeight="true" outlineLevel="0" collapsed="false">
      <c r="B18" s="8" t="s">
        <v>50</v>
      </c>
      <c r="C18" s="9" t="n">
        <v>150</v>
      </c>
      <c r="D18" s="9" t="n">
        <v>590</v>
      </c>
      <c r="E18" s="9" t="n">
        <v>6200</v>
      </c>
      <c r="F18" s="17" t="n">
        <f aca="false">D18/C18</f>
        <v>3.93333333333333</v>
      </c>
    </row>
    <row r="19" customFormat="false" ht="21.75" hidden="false" customHeight="true" outlineLevel="0" collapsed="false">
      <c r="B19" s="4" t="s">
        <v>53</v>
      </c>
      <c r="C19" s="5" t="n">
        <v>130</v>
      </c>
      <c r="D19" s="5" t="n">
        <v>530</v>
      </c>
      <c r="E19" s="5" t="n">
        <v>5500</v>
      </c>
      <c r="F19" s="16" t="n">
        <f aca="false">D19/C19</f>
        <v>4.07692307692308</v>
      </c>
    </row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2">
    <mergeCell ref="B2:F2"/>
    <mergeCell ref="B3:F3"/>
  </mergeCells>
  <conditionalFormatting sqref="C5:C19">
    <cfRule type="dataBar" priority="2">
      <dataBar showValue="1" minLength="10" maxLength="90">
        <cfvo type="min" val="0"/>
        <cfvo type="max" val="0"/>
        <color rgb="FF1D9E75"/>
      </dataBar>
      <extLst>
        <ext xmlns:x14="http://schemas.microsoft.com/office/spreadsheetml/2009/9/main" uri="{B025F937-C7B1-47D3-B67F-A62EFF666E3E}">
          <x14:id>{14FF8748-6458-42F5-B849-CA6C575668A2}</x14:id>
        </ext>
      </extLst>
    </cfRule>
  </conditionalFormatting>
  <conditionalFormatting sqref="E5:E19">
    <cfRule type="dataBar" priority="3">
      <dataBar showValue="1" minLength="10" maxLength="90">
        <cfvo type="min" val="0"/>
        <cfvo type="max" val="0"/>
        <color rgb="FFE8002D"/>
      </dataBar>
      <extLst>
        <ext xmlns:x14="http://schemas.microsoft.com/office/spreadsheetml/2009/9/main" uri="{B025F937-C7B1-47D3-B67F-A62EFF666E3E}">
          <x14:id>{D8F2141E-C6A7-42BF-AD92-2ACEFC9465DD}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FF8748-6458-42F5-B849-CA6C575668A2}">
            <x14:dataBar minLength="10" maxLength="90" axisPosition="none" gradient="true">
              <x14:cfvo type="min"/>
              <x14:cfvo type="max"/>
              <x14:negativeFillColor rgb="FF1D9E75"/>
              <x14:axisColor rgb="FF000000"/>
            </x14:dataBar>
          </x14:cfRule>
          <xm:sqref>C5:C19</xm:sqref>
        </x14:conditionalFormatting>
        <x14:conditionalFormatting xmlns:xm="http://schemas.microsoft.com/office/excel/2006/main">
          <x14:cfRule type="dataBar" id="{D8F2141E-C6A7-42BF-AD92-2ACEFC9465DD}">
            <x14:dataBar minLength="10" maxLength="90" axisPosition="none" gradient="true">
              <x14:cfvo type="min"/>
              <x14:cfvo type="max"/>
              <x14:negativeFillColor rgb="FFE8002D"/>
              <x14:axisColor rgb="FF000000"/>
            </x14:dataBar>
          </x14:cfRule>
          <xm:sqref>E5:E19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2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5" min="4" style="0" width="22"/>
  </cols>
  <sheetData>
    <row r="2" customFormat="false" ht="43.5" hidden="false" customHeight="true" outlineLevel="0" collapsed="false">
      <c r="B2" s="18" t="s">
        <v>64</v>
      </c>
      <c r="C2" s="18"/>
      <c r="D2" s="18"/>
      <c r="E2" s="18"/>
    </row>
    <row r="3" customFormat="false" ht="19.5" hidden="false" customHeight="true" outlineLevel="0" collapsed="false"/>
    <row r="4" customFormat="false" ht="19.5" hidden="false" customHeight="true" outlineLevel="0" collapsed="false">
      <c r="B4" s="19" t="s">
        <v>65</v>
      </c>
      <c r="C4" s="19"/>
      <c r="D4" s="19"/>
      <c r="E4" s="19"/>
    </row>
    <row r="5" customFormat="false" ht="19.5" hidden="false" customHeight="true" outlineLevel="0" collapsed="false">
      <c r="B5" s="20" t="s">
        <v>66</v>
      </c>
      <c r="C5" s="20" t="s">
        <v>67</v>
      </c>
      <c r="D5" s="20" t="s">
        <v>68</v>
      </c>
      <c r="E5" s="20" t="s">
        <v>69</v>
      </c>
    </row>
    <row r="6" customFormat="false" ht="19.5" hidden="false" customHeight="true" outlineLevel="0" collapsed="false">
      <c r="B6" s="21" t="s">
        <v>70</v>
      </c>
      <c r="C6" s="21" t="s">
        <v>71</v>
      </c>
      <c r="D6" s="21" t="s">
        <v>72</v>
      </c>
      <c r="E6" s="22" t="s">
        <v>73</v>
      </c>
    </row>
    <row r="7" customFormat="false" ht="19.5" hidden="false" customHeight="true" outlineLevel="0" collapsed="false">
      <c r="B7" s="23" t="s">
        <v>74</v>
      </c>
      <c r="C7" s="23" t="s">
        <v>75</v>
      </c>
      <c r="D7" s="23" t="s">
        <v>72</v>
      </c>
      <c r="E7" s="24" t="s">
        <v>76</v>
      </c>
    </row>
    <row r="8" customFormat="false" ht="19.5" hidden="false" customHeight="true" outlineLevel="0" collapsed="false">
      <c r="B8" s="21" t="s">
        <v>77</v>
      </c>
      <c r="C8" s="21" t="s">
        <v>78</v>
      </c>
      <c r="D8" s="21" t="s">
        <v>72</v>
      </c>
      <c r="E8" s="22" t="s">
        <v>79</v>
      </c>
    </row>
    <row r="9" customFormat="false" ht="19.5" hidden="false" customHeight="true" outlineLevel="0" collapsed="false">
      <c r="B9" s="23" t="s">
        <v>80</v>
      </c>
      <c r="C9" s="23" t="s">
        <v>81</v>
      </c>
      <c r="D9" s="23" t="s">
        <v>82</v>
      </c>
      <c r="E9" s="24" t="s">
        <v>83</v>
      </c>
    </row>
    <row r="10" customFormat="false" ht="19.5" hidden="false" customHeight="true" outlineLevel="0" collapsed="false"/>
    <row r="11" customFormat="false" ht="19.5" hidden="false" customHeight="true" outlineLevel="0" collapsed="false">
      <c r="B11" s="19" t="s">
        <v>84</v>
      </c>
      <c r="C11" s="19"/>
      <c r="D11" s="19"/>
      <c r="E11" s="19"/>
    </row>
    <row r="12" customFormat="false" ht="19.5" hidden="false" customHeight="true" outlineLevel="0" collapsed="false">
      <c r="B12" s="20" t="s">
        <v>66</v>
      </c>
      <c r="C12" s="20" t="s">
        <v>67</v>
      </c>
      <c r="D12" s="20" t="s">
        <v>68</v>
      </c>
      <c r="E12" s="20" t="s">
        <v>69</v>
      </c>
    </row>
    <row r="13" customFormat="false" ht="19.5" hidden="false" customHeight="true" outlineLevel="0" collapsed="false">
      <c r="B13" s="21" t="s">
        <v>85</v>
      </c>
      <c r="C13" s="21" t="s">
        <v>86</v>
      </c>
      <c r="D13" s="21" t="s">
        <v>87</v>
      </c>
      <c r="E13" s="22" t="s">
        <v>88</v>
      </c>
    </row>
    <row r="14" customFormat="false" ht="19.5" hidden="false" customHeight="true" outlineLevel="0" collapsed="false">
      <c r="B14" s="23" t="s">
        <v>89</v>
      </c>
      <c r="C14" s="23" t="s">
        <v>90</v>
      </c>
      <c r="D14" s="23" t="s">
        <v>91</v>
      </c>
      <c r="E14" s="24" t="s">
        <v>88</v>
      </c>
    </row>
    <row r="15" customFormat="false" ht="19.5" hidden="false" customHeight="true" outlineLevel="0" collapsed="false">
      <c r="B15" s="21" t="s">
        <v>92</v>
      </c>
      <c r="C15" s="21" t="s">
        <v>93</v>
      </c>
      <c r="D15" s="21" t="s">
        <v>94</v>
      </c>
      <c r="E15" s="22" t="s">
        <v>88</v>
      </c>
    </row>
    <row r="16" customFormat="false" ht="19.5" hidden="false" customHeight="true" outlineLevel="0" collapsed="false">
      <c r="B16" s="23" t="s">
        <v>95</v>
      </c>
      <c r="C16" s="23" t="s">
        <v>96</v>
      </c>
      <c r="D16" s="23" t="s">
        <v>97</v>
      </c>
      <c r="E16" s="24" t="s">
        <v>88</v>
      </c>
    </row>
    <row r="17" customFormat="false" ht="19.5" hidden="false" customHeight="true" outlineLevel="0" collapsed="false"/>
    <row r="18" customFormat="false" ht="19.5" hidden="false" customHeight="true" outlineLevel="0" collapsed="false">
      <c r="B18" s="19" t="s">
        <v>98</v>
      </c>
      <c r="C18" s="19"/>
      <c r="D18" s="19"/>
      <c r="E18" s="19"/>
    </row>
    <row r="19" customFormat="false" ht="19.5" hidden="false" customHeight="true" outlineLevel="0" collapsed="false">
      <c r="B19" s="20" t="s">
        <v>66</v>
      </c>
      <c r="C19" s="20" t="s">
        <v>67</v>
      </c>
      <c r="D19" s="20" t="s">
        <v>68</v>
      </c>
      <c r="E19" s="20" t="s">
        <v>69</v>
      </c>
    </row>
    <row r="20" customFormat="false" ht="19.5" hidden="false" customHeight="true" outlineLevel="0" collapsed="false">
      <c r="B20" s="21" t="s">
        <v>99</v>
      </c>
      <c r="C20" s="21" t="s">
        <v>100</v>
      </c>
      <c r="D20" s="21" t="s">
        <v>101</v>
      </c>
      <c r="E20" s="22" t="s">
        <v>102</v>
      </c>
    </row>
    <row r="21" customFormat="false" ht="19.5" hidden="false" customHeight="true" outlineLevel="0" collapsed="false">
      <c r="B21" s="23" t="s">
        <v>103</v>
      </c>
      <c r="C21" s="23" t="s">
        <v>104</v>
      </c>
      <c r="D21" s="23" t="s">
        <v>105</v>
      </c>
      <c r="E21" s="24" t="s">
        <v>106</v>
      </c>
    </row>
    <row r="22" customFormat="false" ht="19.5" hidden="false" customHeight="true" outlineLevel="0" collapsed="false">
      <c r="B22" s="21" t="s">
        <v>107</v>
      </c>
      <c r="C22" s="21" t="s">
        <v>108</v>
      </c>
      <c r="D22" s="21" t="s">
        <v>109</v>
      </c>
      <c r="E22" s="22" t="s">
        <v>110</v>
      </c>
    </row>
    <row r="23" customFormat="false" ht="19.5" hidden="false" customHeight="true" outlineLevel="0" collapsed="false">
      <c r="B23" s="23" t="s">
        <v>111</v>
      </c>
      <c r="C23" s="23" t="s">
        <v>112</v>
      </c>
      <c r="D23" s="23" t="s">
        <v>113</v>
      </c>
      <c r="E23" s="24" t="s">
        <v>114</v>
      </c>
    </row>
    <row r="24" customFormat="false" ht="19.5" hidden="false" customHeight="true" outlineLevel="0" collapsed="false">
      <c r="B24" s="21" t="s">
        <v>115</v>
      </c>
      <c r="C24" s="21" t="s">
        <v>116</v>
      </c>
      <c r="D24" s="21" t="s">
        <v>117</v>
      </c>
      <c r="E24" s="22" t="s">
        <v>118</v>
      </c>
    </row>
    <row r="25" customFormat="false" ht="19.5" hidden="false" customHeight="true" outlineLevel="0" collapsed="false"/>
    <row r="26" customFormat="false" ht="19.5" hidden="false" customHeight="true" outlineLevel="0" collapsed="false">
      <c r="B26" s="19" t="s">
        <v>119</v>
      </c>
      <c r="C26" s="19"/>
      <c r="D26" s="19"/>
      <c r="E26" s="19"/>
    </row>
    <row r="27" customFormat="false" ht="19.5" hidden="false" customHeight="true" outlineLevel="0" collapsed="false">
      <c r="B27" s="20" t="s">
        <v>66</v>
      </c>
      <c r="C27" s="20" t="s">
        <v>67</v>
      </c>
      <c r="D27" s="20" t="s">
        <v>68</v>
      </c>
      <c r="E27" s="20" t="s">
        <v>69</v>
      </c>
    </row>
    <row r="28" customFormat="false" ht="19.5" hidden="false" customHeight="true" outlineLevel="0" collapsed="false">
      <c r="B28" s="21" t="s">
        <v>120</v>
      </c>
      <c r="C28" s="21" t="s">
        <v>121</v>
      </c>
      <c r="D28" s="21" t="s">
        <v>122</v>
      </c>
      <c r="E28" s="22" t="s">
        <v>123</v>
      </c>
    </row>
    <row r="29" customFormat="false" ht="19.5" hidden="false" customHeight="true" outlineLevel="0" collapsed="false">
      <c r="B29" s="23" t="s">
        <v>124</v>
      </c>
      <c r="C29" s="23" t="s">
        <v>125</v>
      </c>
      <c r="D29" s="23" t="s">
        <v>126</v>
      </c>
      <c r="E29" s="24" t="s">
        <v>127</v>
      </c>
    </row>
    <row r="30" customFormat="false" ht="19.5" hidden="false" customHeight="true" outlineLevel="0" collapsed="false">
      <c r="B30" s="21" t="s">
        <v>128</v>
      </c>
      <c r="C30" s="21" t="s">
        <v>129</v>
      </c>
      <c r="D30" s="21" t="s">
        <v>130</v>
      </c>
      <c r="E30" s="22" t="s">
        <v>131</v>
      </c>
    </row>
    <row r="31" customFormat="false" ht="19.5" hidden="false" customHeight="true" outlineLevel="0" collapsed="false">
      <c r="B31" s="23" t="s">
        <v>132</v>
      </c>
      <c r="C31" s="23" t="s">
        <v>133</v>
      </c>
      <c r="D31" s="23" t="s">
        <v>134</v>
      </c>
      <c r="E31" s="24" t="s">
        <v>135</v>
      </c>
    </row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5">
    <mergeCell ref="B2:E2"/>
    <mergeCell ref="B4:E4"/>
    <mergeCell ref="B11:E11"/>
    <mergeCell ref="B18:E18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8ADD"/>
    <pageSetUpPr fitToPage="false"/>
  </sheetPr>
  <dimension ref="B2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20"/>
  </cols>
  <sheetData>
    <row r="2" customFormat="false" ht="43.5" hidden="false" customHeight="true" outlineLevel="0" collapsed="false">
      <c r="B2" s="15" t="s">
        <v>136</v>
      </c>
      <c r="C2" s="15"/>
      <c r="D2" s="15"/>
      <c r="E2" s="15"/>
    </row>
    <row r="3" customFormat="false" ht="21.75" hidden="false" customHeight="true" outlineLevel="0" collapsed="false"/>
    <row r="4" customFormat="false" ht="21.75" hidden="false" customHeight="true" outlineLevel="0" collapsed="false">
      <c r="B4" s="12" t="s">
        <v>137</v>
      </c>
      <c r="C4" s="12"/>
      <c r="D4" s="12"/>
      <c r="E4" s="12"/>
    </row>
    <row r="5" customFormat="false" ht="21.75" hidden="false" customHeight="true" outlineLevel="0" collapsed="false">
      <c r="B5" s="25" t="s">
        <v>138</v>
      </c>
      <c r="C5" s="26" t="s">
        <v>139</v>
      </c>
      <c r="E5" s="27" t="s">
        <v>140</v>
      </c>
    </row>
    <row r="6" customFormat="false" ht="21.75" hidden="false" customHeight="true" outlineLevel="0" collapsed="false">
      <c r="B6" s="25" t="s">
        <v>141</v>
      </c>
      <c r="C6" s="26" t="s">
        <v>107</v>
      </c>
      <c r="E6" s="27" t="s">
        <v>140</v>
      </c>
    </row>
    <row r="7" customFormat="false" ht="21.75" hidden="false" customHeight="true" outlineLevel="0" collapsed="false">
      <c r="B7" s="25" t="s">
        <v>142</v>
      </c>
      <c r="C7" s="26" t="n">
        <v>2</v>
      </c>
      <c r="E7" s="27" t="s">
        <v>140</v>
      </c>
    </row>
    <row r="8" customFormat="false" ht="21.75" hidden="false" customHeight="true" outlineLevel="0" collapsed="false">
      <c r="B8" s="25" t="s">
        <v>143</v>
      </c>
      <c r="C8" s="26" t="n">
        <v>3</v>
      </c>
      <c r="E8" s="27" t="s">
        <v>140</v>
      </c>
    </row>
    <row r="9" customFormat="false" ht="21.75" hidden="false" customHeight="true" outlineLevel="0" collapsed="false">
      <c r="B9" s="25" t="s">
        <v>144</v>
      </c>
      <c r="C9" s="26" t="n">
        <v>200</v>
      </c>
      <c r="D9" s="28" t="s">
        <v>145</v>
      </c>
      <c r="E9" s="27" t="s">
        <v>140</v>
      </c>
    </row>
    <row r="10" customFormat="false" ht="21.75" hidden="false" customHeight="true" outlineLevel="0" collapsed="false"/>
    <row r="11" customFormat="false" ht="21.75" hidden="false" customHeight="true" outlineLevel="0" collapsed="false">
      <c r="B11" s="12" t="s">
        <v>146</v>
      </c>
      <c r="C11" s="12"/>
      <c r="D11" s="12"/>
      <c r="E11" s="12"/>
    </row>
    <row r="12" customFormat="false" ht="21.75" hidden="false" customHeight="true" outlineLevel="0" collapsed="false">
      <c r="B12" s="25" t="s">
        <v>147</v>
      </c>
      <c r="C12" s="29" t="n">
        <f aca="false">C9*1200</f>
        <v>240000</v>
      </c>
      <c r="E12" s="27" t="s">
        <v>148</v>
      </c>
    </row>
    <row r="13" customFormat="false" ht="21.75" hidden="false" customHeight="true" outlineLevel="0" collapsed="false">
      <c r="B13" s="25" t="s">
        <v>149</v>
      </c>
      <c r="C13" s="29" t="n">
        <f aca="false">C10*C11*200</f>
        <v>0</v>
      </c>
      <c r="E13" s="27"/>
    </row>
    <row r="14" customFormat="false" ht="21.75" hidden="false" customHeight="true" outlineLevel="0" collapsed="false">
      <c r="B14" s="25" t="s">
        <v>150</v>
      </c>
      <c r="C14" s="29" t="n">
        <f aca="false">150*C9</f>
        <v>30000</v>
      </c>
      <c r="E14" s="27"/>
    </row>
    <row r="15" customFormat="false" ht="21.75" hidden="false" customHeight="true" outlineLevel="0" collapsed="false">
      <c r="B15" s="25" t="s">
        <v>151</v>
      </c>
      <c r="C15" s="29" t="n">
        <f aca="false">80*C9</f>
        <v>16000</v>
      </c>
      <c r="E15" s="27" t="s">
        <v>152</v>
      </c>
    </row>
    <row r="16" customFormat="false" ht="21.75" hidden="false" customHeight="true" outlineLevel="0" collapsed="false">
      <c r="B16" s="25" t="s">
        <v>153</v>
      </c>
      <c r="C16" s="29" t="n">
        <f aca="false">100*C9</f>
        <v>20000</v>
      </c>
      <c r="E16" s="27"/>
    </row>
    <row r="17" customFormat="false" ht="27.75" hidden="false" customHeight="true" outlineLevel="0" collapsed="false">
      <c r="B17" s="30" t="s">
        <v>154</v>
      </c>
      <c r="C17" s="31" t="n">
        <f aca="false">SUM(C12:C16)</f>
        <v>306000</v>
      </c>
      <c r="D17" s="32" t="s">
        <v>155</v>
      </c>
    </row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</sheetData>
  <mergeCells count="3">
    <mergeCell ref="B2:E2"/>
    <mergeCell ref="B4:E4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2026-03-15T01:20:28Z</dcterms:created>
  <dc:creator>openpyxl</dc:creator>
  <dc:description/>
  <dc:language>en-US</dc:language>
  <cp:lastModifiedBy/>
  <dcterms:modified xsi:type="dcterms:W3CDTF">2026-03-15T01:20:36Z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